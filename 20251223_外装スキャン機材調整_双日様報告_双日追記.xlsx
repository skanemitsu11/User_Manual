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anemitsu.shohei\Box\#P_Digital Business Development Dept\#P_Digital Business Development Sect.1, Digital Business Development Dept\01_案件資料（外部共有）\中古車流通DX（自動車部-デジ推）\04.中古車流通PF\502_外装スキャン\808_都築産業\20251223_機材調達\"/>
    </mc:Choice>
  </mc:AlternateContent>
  <xr:revisionPtr revIDLastSave="0" documentId="13_ncr:1_{42E53686-9741-4496-A800-2BCC94E7531C}" xr6:coauthVersionLast="47" xr6:coauthVersionMax="47" xr10:uidLastSave="{00000000-0000-0000-0000-000000000000}"/>
  <bookViews>
    <workbookView minimized="1" xWindow="1170" yWindow="1170" windowWidth="21600" windowHeight="11295" xr2:uid="{DFE01433-2C1A-4749-B344-2332F2CEEF17}"/>
  </bookViews>
  <sheets>
    <sheet name="20251223" sheetId="6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6" l="1"/>
  <c r="P16" i="6"/>
  <c r="Q12" i="6"/>
  <c r="P12" i="6"/>
  <c r="P3" i="6"/>
  <c r="Q3" i="6" s="1"/>
  <c r="Q1" i="6" s="1"/>
  <c r="P4" i="6"/>
  <c r="P5" i="6"/>
  <c r="P6" i="6"/>
  <c r="P7" i="6"/>
  <c r="P8" i="6"/>
  <c r="P9" i="6"/>
  <c r="P10" i="6"/>
  <c r="P11" i="6"/>
  <c r="P13" i="6"/>
  <c r="P14" i="6"/>
  <c r="P15" i="6"/>
  <c r="P17" i="6"/>
  <c r="P18" i="6"/>
  <c r="P19" i="6"/>
  <c r="P20" i="6"/>
  <c r="P21" i="6"/>
  <c r="P22" i="6"/>
  <c r="P23" i="6"/>
  <c r="P24" i="6"/>
  <c r="P25" i="6"/>
  <c r="P26" i="6"/>
  <c r="P27" i="6"/>
  <c r="Q4" i="6"/>
  <c r="Q5" i="6"/>
  <c r="Q6" i="6"/>
  <c r="Q7" i="6"/>
  <c r="Q8" i="6"/>
  <c r="Q9" i="6"/>
  <c r="Q10" i="6"/>
  <c r="Q11" i="6"/>
  <c r="Q13" i="6"/>
  <c r="Q14" i="6"/>
  <c r="Q15" i="6"/>
  <c r="Q17" i="6"/>
  <c r="Q18" i="6"/>
  <c r="Q19" i="6"/>
  <c r="Q20" i="6"/>
  <c r="Q21" i="6"/>
  <c r="Q22" i="6"/>
  <c r="Q23" i="6"/>
  <c r="Q24" i="6"/>
  <c r="Q25" i="6"/>
  <c r="Q26" i="6"/>
  <c r="Q27" i="6"/>
  <c r="L10" i="2"/>
  <c r="M10" i="2"/>
  <c r="K10" i="2"/>
  <c r="H6" i="2"/>
  <c r="H4" i="2"/>
  <c r="Q30" i="6" l="1"/>
  <c r="P1" i="6"/>
</calcChain>
</file>

<file path=xl/sharedStrings.xml><?xml version="1.0" encoding="utf-8"?>
<sst xmlns="http://schemas.openxmlformats.org/spreadsheetml/2006/main" count="256" uniqueCount="161">
  <si>
    <t>車両全体撮影の場合</t>
    <rPh sb="0" eb="4">
      <t>シャリョウゼンタイ</t>
    </rPh>
    <rPh sb="4" eb="6">
      <t>サツエイ</t>
    </rPh>
    <rPh sb="7" eb="9">
      <t>バアイ</t>
    </rPh>
    <phoneticPr fontId="1"/>
  </si>
  <si>
    <t>機材</t>
    <rPh sb="0" eb="2">
      <t>キザイ</t>
    </rPh>
    <phoneticPr fontId="1"/>
  </si>
  <si>
    <t>目的</t>
    <rPh sb="0" eb="2">
      <t>モクテキ</t>
    </rPh>
    <phoneticPr fontId="1"/>
  </si>
  <si>
    <t>品目</t>
  </si>
  <si>
    <t>メーカー / 型式</t>
    <phoneticPr fontId="1"/>
  </si>
  <si>
    <t>代理店</t>
  </si>
  <si>
    <t>想定価格</t>
    <rPh sb="0" eb="2">
      <t>ソウテイ</t>
    </rPh>
    <phoneticPr fontId="1"/>
  </si>
  <si>
    <t>QTY(min)</t>
    <phoneticPr fontId="1"/>
  </si>
  <si>
    <t>QTY(想定）</t>
    <rPh sb="4" eb="6">
      <t>ソウテイ</t>
    </rPh>
    <phoneticPr fontId="1"/>
  </si>
  <si>
    <t>備考</t>
    <rPh sb="0" eb="2">
      <t>ビコウ</t>
    </rPh>
    <phoneticPr fontId="1"/>
  </si>
  <si>
    <t>URL</t>
  </si>
  <si>
    <t>組付け</t>
    <rPh sb="0" eb="2">
      <t>クミツ</t>
    </rPh>
    <phoneticPr fontId="1"/>
  </si>
  <si>
    <t>追加分</t>
    <rPh sb="0" eb="3">
      <t>ツイカブン</t>
    </rPh>
    <phoneticPr fontId="1"/>
  </si>
  <si>
    <t>櫓</t>
    <rPh sb="0" eb="1">
      <t>ヤグラ</t>
    </rPh>
    <phoneticPr fontId="1"/>
  </si>
  <si>
    <t>MISUMI</t>
    <phoneticPr fontId="1"/>
  </si>
  <si>
    <t>既存品同等</t>
    <rPh sb="0" eb="3">
      <t>キソンヒン</t>
    </rPh>
    <rPh sb="3" eb="5">
      <t>ドウトウ</t>
    </rPh>
    <phoneticPr fontId="1"/>
  </si>
  <si>
    <t>遮光布</t>
    <rPh sb="0" eb="2">
      <t>シャコウ</t>
    </rPh>
    <rPh sb="2" eb="3">
      <t>ヌノ</t>
    </rPh>
    <phoneticPr fontId="1"/>
  </si>
  <si>
    <t>外光調整のため</t>
    <rPh sb="0" eb="2">
      <t>ガイコウ</t>
    </rPh>
    <rPh sb="2" eb="4">
      <t>チョウセイ</t>
    </rPh>
    <phoneticPr fontId="1"/>
  </si>
  <si>
    <t>暗幕(3m x 6m)</t>
    <rPh sb="0" eb="2">
      <t>アンマク</t>
    </rPh>
    <phoneticPr fontId="1"/>
  </si>
  <si>
    <t>AMAZON</t>
    <phoneticPr fontId="1"/>
  </si>
  <si>
    <t>https://www.amazon.co.jp/FotoFoto-%E7%84%A1%E5%8F%8D%E5%B0%84%E9%9D%A2%E3%81%A8%E5%8F%8D%E5%B0%84%E9%9D%A2%E3%81%8C%E3%81%82%E3%82%8A-%E3%83%90%E3%83%83%E3%82%AF%E3%82%B0%E3%83%A9%E3%82%A6%E3%83%B3%E3%83%89-%E3%83%90%E3%83%83%E3%82%AF%E3%82%B9%E3%82%AF%E3%83%AA%E3%83%BC%E3%83%B3-%E3%82%A2%E3%82%A4%E3%83%AD%E3%83%B3%E6%8E%9B%E3%81%91%E5%8F%AF/dp/B08GG6N1NB?source=ps-sl-shoppingads-lpcontext&amp;ref_=fplfs&amp;smid=AQVXBVVNW8MNO&amp;th=1</t>
  </si>
  <si>
    <t>暗幕掛け</t>
    <rPh sb="0" eb="2">
      <t>アンマク</t>
    </rPh>
    <rPh sb="2" eb="3">
      <t>カ</t>
    </rPh>
    <phoneticPr fontId="1"/>
  </si>
  <si>
    <t>外光調整範囲調整のため</t>
    <rPh sb="0" eb="4">
      <t>ガイコウチョウセイ</t>
    </rPh>
    <rPh sb="4" eb="6">
      <t>ハンイ</t>
    </rPh>
    <rPh sb="6" eb="8">
      <t>チョウセイ</t>
    </rPh>
    <phoneticPr fontId="1"/>
  </si>
  <si>
    <t>外光テスト</t>
    <rPh sb="0" eb="2">
      <t>ガイコウ</t>
    </rPh>
    <phoneticPr fontId="1"/>
  </si>
  <si>
    <t>照明固定</t>
    <rPh sb="0" eb="2">
      <t>ショウメイ</t>
    </rPh>
    <rPh sb="2" eb="4">
      <t>コテイ</t>
    </rPh>
    <phoneticPr fontId="1"/>
  </si>
  <si>
    <t>三脚</t>
    <rPh sb="0" eb="2">
      <t>サンキャク</t>
    </rPh>
    <phoneticPr fontId="1"/>
  </si>
  <si>
    <t>https://www.amazon.co.jp/NEEWER-400cm-%E3%82%A8%E3%82%A2%E3%82%AF%E3%83%83%E3%82%B7%E3%83%A7%E3%83%B3%E3%83%A9%E3%82%A4%E3%83%88%E3%82%B9%E3%82%BF%E3%83%B3%E3%83%89-%E9%A0%91%E4%B8%88%E3%81%AA%E9%87%91%E5%B1%9E%E8%A3%BD%E5%86%99%E7%9C%9F%E4%B8%89%E8%84%9A%E3%82%B9%E3%82%BF%E3%83%B3%E3%83%89-%E3%83%AA%E3%83%90%E3%83%BC%E3%82%B7%E3%83%96%E3%83%AB%E3%83%8D%E3%82%B8%E3%82%A2%E3%83%80%E3%83%97%E3%82%BF%E3%83%BC%E3%81%A83%E3%82%A6%E3%82%A7%E3%82%A4%E5%8F%96%E3%82%8A%E4%BB%98%E3%81%91%E3%82%A4%E3%83%B3%E3%82%BF%E3%83%BC%E3%83%95%E3%82%A7%E3%83%BC%E3%82%B9%E4%BB%98%E3%81%8D/dp/B0BTL5XYN6/ref=asc_df_B0BTL5XYN6?mcid=7fffc6ab76583ce5a8b55b2aa8714a00&amp;tag=jpgo-22&amp;linkCode=df0&amp;hvadid=707570021267&amp;hvpos=&amp;hvnetw=g&amp;hvrand=11870521352603379143&amp;hvpone=&amp;hvptwo=&amp;hvqmt=&amp;hvdev=c&amp;hvdvcmdl=&amp;hvlocint=&amp;hvlocphy=1028853&amp;hvtargid=pla-2019565013902&amp;hvocijid=11870521352603379143-B0BTL5XYN6-&amp;hvexpln=0&amp;th=1</t>
    <phoneticPr fontId="1"/>
  </si>
  <si>
    <t>外部光相当</t>
    <rPh sb="0" eb="2">
      <t>ガイブ</t>
    </rPh>
    <rPh sb="2" eb="3">
      <t>ヒカリ</t>
    </rPh>
    <rPh sb="3" eb="5">
      <t>ソウトウ</t>
    </rPh>
    <phoneticPr fontId="1"/>
  </si>
  <si>
    <t>ハロゲンランプ</t>
    <phoneticPr fontId="1"/>
  </si>
  <si>
    <t>TAKAGI</t>
    <phoneticPr fontId="1"/>
  </si>
  <si>
    <t>https://www.amazon.co.jp/%E9%AB%98%E5%84%80-%E3%82%BF%E3%82%AB%E3%82%AE-WLT-260-EARTH-%E3%83%8F%E3%83%AD%E3%82%B2%E3%83%B3%E3%83%AF%E3%83%BC%E3%82%AF%E3%83%A9%E3%82%A4%E3%83%88500W/dp/B00NUTIIF2/ref=asc_df_B00NUTIIF2?mcid=933ac1162c963c51a6fa2afeaa564a77&amp;th=1&amp;psc=1&amp;tag=jpgo-22&amp;linkCode=df0&amp;hvadid=707464381345&amp;hvpos=&amp;hvnetw=g&amp;hvrand=7257913477525865747&amp;hvpone=&amp;hvptwo=&amp;hvqmt=&amp;hvdev=c&amp;hvdvcmdl=&amp;hvlocint=&amp;hvlocphy=1028853&amp;hvtargid=pla-439605759346&amp;psc=1&amp;hvocijid=7257913477525865747-B00NUTIIF2-&amp;hvexpln=0</t>
    <phoneticPr fontId="1"/>
  </si>
  <si>
    <t>機器固定</t>
    <rPh sb="0" eb="4">
      <t>キキコテイ</t>
    </rPh>
    <phoneticPr fontId="1"/>
  </si>
  <si>
    <t>カメラ固定</t>
    <rPh sb="3" eb="5">
      <t>コテイ</t>
    </rPh>
    <phoneticPr fontId="1"/>
  </si>
  <si>
    <t>雲台</t>
    <rPh sb="0" eb="2">
      <t>ウンダイ</t>
    </rPh>
    <phoneticPr fontId="1"/>
  </si>
  <si>
    <t>クランプマウント</t>
    <phoneticPr fontId="1"/>
  </si>
  <si>
    <t>https://www.amazon.co.jp/CAMVATE-C%E5%BD%A2%E3%82%AF%E3%83%A9%E3%83%B3%E3%83%97-4%E3%83%8D%E3%82%B8%E3%83%9E%E3%82%A6%E3%83%B3%E3%83%88-360%E5%BA%A6%E5%9B%9E%E8%BB%A2%E5%8F%AF%E8%83%BD-8%E3%83%8D%E3%82%B8RED%E3%82%AB%E3%83%A1%E3%83%A9%E9%81%A9%E7%94%A8/dp/B01N0ZORFJ/ref=asc_df_B01N0ZORFJ?mcid=b7c1ce36f76f3c5b93c26242b07bec10&amp;tag=jpgo-22&amp;linkCode=df0&amp;hvadid=707465131585&amp;hvpos=&amp;hvnetw=g&amp;hvrand=16165980880127972800&amp;hvpone=&amp;hvptwo=&amp;hvqmt=&amp;hvdev=c&amp;hvdvcmdl=&amp;hvlocint=&amp;hvlocphy=1028853&amp;hvtargid=pla-443105092235&amp;hvocijid=16165980880127972800-B01N0ZORFJ-&amp;hvexpln=0&amp;th=1</t>
    <phoneticPr fontId="1"/>
  </si>
  <si>
    <t>カメラ</t>
    <phoneticPr fontId="1"/>
  </si>
  <si>
    <t>可視光カメラ(4096x3000)</t>
    <phoneticPr fontId="1"/>
  </si>
  <si>
    <t>Lucid Vision Labs / ATX124S-CC</t>
  </si>
  <si>
    <t>Edmond Optics</t>
  </si>
  <si>
    <t>https://www.edmundoptics.jp/p/lucid-vision-labs-atlas10-atx124s-cc-sony-imx535-123mp-color-camera/45499/</t>
    <phoneticPr fontId="1"/>
  </si>
  <si>
    <t>紫外光カメラ（2840x2840)</t>
    <phoneticPr fontId="1"/>
  </si>
  <si>
    <t>Lucid Vision Labs / ATX081S-UC</t>
    <phoneticPr fontId="1"/>
  </si>
  <si>
    <t>ダイトロン</t>
  </si>
  <si>
    <t>https://www.daitron.co.jp/products/atlas_10gige.html</t>
    <phoneticPr fontId="1"/>
  </si>
  <si>
    <t>偏光カメラ(4096x3000)</t>
    <phoneticPr fontId="1"/>
  </si>
  <si>
    <t>The Imaging Source / DZK33UX250</t>
    <phoneticPr fontId="1"/>
  </si>
  <si>
    <t>アルゴ</t>
  </si>
  <si>
    <t>https://www.argocorp.com/cam/usb3/tis/DYK33UX250.html</t>
    <phoneticPr fontId="1"/>
  </si>
  <si>
    <t>可視光レンズ</t>
  </si>
  <si>
    <t>CBC / V0826-MPZ</t>
    <phoneticPr fontId="1"/>
  </si>
  <si>
    <t>ユニエル電子</t>
  </si>
  <si>
    <t>https://www.uniel-denshi.co.jp/CBC/V0826-MPZ.html</t>
    <phoneticPr fontId="1"/>
  </si>
  <si>
    <t>FUJINON / HF6XA-5M</t>
  </si>
  <si>
    <t>https://uniel-denshi.co.jp/FUJIFILM/HF6XA-5M.html</t>
    <phoneticPr fontId="1"/>
  </si>
  <si>
    <t>紫外光レンズ</t>
  </si>
  <si>
    <t>UNIVERSE /UV0635BCM</t>
    <phoneticPr fontId="1"/>
  </si>
  <si>
    <t>ユニバース光学工業</t>
  </si>
  <si>
    <t>https://www.universekk.com/lineup/?id=1656647688-834188</t>
    <phoneticPr fontId="1"/>
  </si>
  <si>
    <t>カメラ補器</t>
    <rPh sb="3" eb="5">
      <t>ホキ</t>
    </rPh>
    <phoneticPr fontId="1"/>
  </si>
  <si>
    <t>色ガラスフィルター</t>
  </si>
  <si>
    <t>レーザークリエイト/ 9030205</t>
  </si>
  <si>
    <t>レーザークリエイト</t>
  </si>
  <si>
    <t>https://www.lasercreate.com/products/camera_colorglass_filter/price/UV-VIS_bandpass_325-660nm_price.html</t>
    <phoneticPr fontId="1"/>
  </si>
  <si>
    <t>照明</t>
    <rPh sb="0" eb="2">
      <t>ショウメイ</t>
    </rPh>
    <phoneticPr fontId="1"/>
  </si>
  <si>
    <t>LED照明コントローラー(4ch)</t>
  </si>
  <si>
    <t>MBJ Imaging /CTR-52</t>
    <phoneticPr fontId="1"/>
  </si>
  <si>
    <t>https://www.argocorp.com/light/MBJ-Imaging/Controller/CTR-52.html</t>
    <phoneticPr fontId="1"/>
  </si>
  <si>
    <t>広角バーライト(白色)</t>
  </si>
  <si>
    <t>MBJ Imaging /WBL-0410-WT-X</t>
    <phoneticPr fontId="1"/>
  </si>
  <si>
    <t>https://www.argocorp.com/light/MBJ-Imaging/Barlights/WideBarlight.html#WBL-0440</t>
    <phoneticPr fontId="1"/>
  </si>
  <si>
    <t>狭角バーライト(白色)</t>
  </si>
  <si>
    <t>MGJ Imaging /HIGHPOWER-WBL-0430-WT-X</t>
    <phoneticPr fontId="1"/>
  </si>
  <si>
    <t>https://www.argocorp.com/light/MBJ-Imaging/Barlights/HighPowerWideBarlight.html</t>
    <phoneticPr fontId="1"/>
  </si>
  <si>
    <t>紫外照明</t>
  </si>
  <si>
    <t>ナイトライド・セミコンダクター /
NS365-FLB-60W</t>
  </si>
  <si>
    <t>ナイトライド・
セミコンダクター</t>
  </si>
  <si>
    <t>納期は代金送金後2W</t>
  </si>
  <si>
    <t>ナイトライド・セミコンダクター /
NS365-SL-S260R</t>
  </si>
  <si>
    <t>10GigEポート1つで何台行けるか。</t>
    <rPh sb="12" eb="14">
      <t>ナンダイ</t>
    </rPh>
    <rPh sb="14" eb="15">
      <t>イ</t>
    </rPh>
    <phoneticPr fontId="1"/>
  </si>
  <si>
    <t>画像取得PC</t>
  </si>
  <si>
    <t>NVIDIA / Jetson AGX Orin Dev. Kit</t>
  </si>
  <si>
    <t>Switch Science</t>
  </si>
  <si>
    <t>https://www.switch-science.com/products/8886?srsltid=AfmBOoqMBuop3w5ED1EB2tlvDOZGxwNui37etq4wUK-rYP8Q42wpgmIZ</t>
    <phoneticPr fontId="1"/>
  </si>
  <si>
    <t>偏光カメラ用のインターフェース</t>
    <rPh sb="0" eb="2">
      <t>ヘンコウ</t>
    </rPh>
    <rPh sb="5" eb="6">
      <t>ヨウ</t>
    </rPh>
    <phoneticPr fontId="1"/>
  </si>
  <si>
    <t>USB3 Vision 用小型PC</t>
  </si>
  <si>
    <t>Raspberry Pi 5 16GB</t>
  </si>
  <si>
    <t>KSY</t>
  </si>
  <si>
    <t>https://raspberry-pi.ksyic.com/main/index/pdp.id/1157/pdp.open/11572</t>
    <phoneticPr fontId="1"/>
  </si>
  <si>
    <t>ネットワーク</t>
  </si>
  <si>
    <t>カメラ接続</t>
  </si>
  <si>
    <t>マルチギガビットスイッチ</t>
  </si>
  <si>
    <t>Buffalo / 
BS-MP2012</t>
  </si>
  <si>
    <t>Office Create</t>
  </si>
  <si>
    <t>12ポート</t>
  </si>
  <si>
    <t>https://kaago.com/officecreate/BS-MP2012/?itemcode=4981254041123</t>
  </si>
  <si>
    <t>アルミフレーム</t>
    <phoneticPr fontId="1"/>
  </si>
  <si>
    <t>全長</t>
    <rPh sb="0" eb="2">
      <t>ゼンチョウ</t>
    </rPh>
    <phoneticPr fontId="1"/>
  </si>
  <si>
    <t>幅方向数量</t>
    <rPh sb="0" eb="3">
      <t>ハバホウコウ</t>
    </rPh>
    <rPh sb="3" eb="5">
      <t>スウリョウ</t>
    </rPh>
    <phoneticPr fontId="1"/>
  </si>
  <si>
    <t>断面</t>
    <rPh sb="0" eb="2">
      <t>ダンメン</t>
    </rPh>
    <phoneticPr fontId="1"/>
  </si>
  <si>
    <t>長さ</t>
    <rPh sb="0" eb="1">
      <t>ナガ</t>
    </rPh>
    <phoneticPr fontId="1"/>
  </si>
  <si>
    <t>総数</t>
    <rPh sb="0" eb="1">
      <t>ソウ</t>
    </rPh>
    <rPh sb="1" eb="2">
      <t>スウ</t>
    </rPh>
    <phoneticPr fontId="1"/>
  </si>
  <si>
    <t>橋渡し</t>
    <rPh sb="0" eb="2">
      <t>ハシワタ</t>
    </rPh>
    <phoneticPr fontId="1"/>
  </si>
  <si>
    <t>車長方向</t>
    <rPh sb="0" eb="2">
      <t>シャチョウ</t>
    </rPh>
    <rPh sb="2" eb="4">
      <t>ホウコウ</t>
    </rPh>
    <phoneticPr fontId="1"/>
  </si>
  <si>
    <t>30x30</t>
    <phoneticPr fontId="1"/>
  </si>
  <si>
    <t>車幅方向</t>
    <rPh sb="0" eb="4">
      <t>シャハバホウコウ</t>
    </rPh>
    <phoneticPr fontId="1"/>
  </si>
  <si>
    <t>総数</t>
    <rPh sb="0" eb="2">
      <t>ソウスウ</t>
    </rPh>
    <phoneticPr fontId="1"/>
  </si>
  <si>
    <t>柱数</t>
    <rPh sb="0" eb="2">
      <t>ハシラスウ</t>
    </rPh>
    <phoneticPr fontId="1"/>
  </si>
  <si>
    <t>1100数量</t>
    <rPh sb="4" eb="6">
      <t>スウリョウ</t>
    </rPh>
    <phoneticPr fontId="1"/>
  </si>
  <si>
    <t>300数量</t>
    <rPh sb="3" eb="5">
      <t>スウリョウ</t>
    </rPh>
    <phoneticPr fontId="1"/>
  </si>
  <si>
    <t>500数量</t>
    <rPh sb="3" eb="5">
      <t>スウリョウ</t>
    </rPh>
    <phoneticPr fontId="1"/>
  </si>
  <si>
    <t>柱構造</t>
    <rPh sb="0" eb="3">
      <t>ハシラコウゾウ</t>
    </rPh>
    <phoneticPr fontId="1"/>
  </si>
  <si>
    <t>1100x360x560</t>
    <phoneticPr fontId="1"/>
  </si>
  <si>
    <t>数量</t>
    <rPh sb="0" eb="2">
      <t>スウリョウ</t>
    </rPh>
    <phoneticPr fontId="1"/>
  </si>
  <si>
    <t>斜め構造</t>
    <rPh sb="0" eb="1">
      <t>ナナ</t>
    </rPh>
    <rPh sb="2" eb="4">
      <t>コウゾウ</t>
    </rPh>
    <phoneticPr fontId="1"/>
  </si>
  <si>
    <t>GFBL45A6-3030-500</t>
    <phoneticPr fontId="1"/>
  </si>
  <si>
    <t>GFBL45A6-3030-250</t>
    <phoneticPr fontId="1"/>
  </si>
  <si>
    <t>中間フレーム_sheet2</t>
    <rPh sb="0" eb="2">
      <t>チュウカン</t>
    </rPh>
    <phoneticPr fontId="1"/>
  </si>
  <si>
    <t>1柱当たりしよう数量</t>
    <rPh sb="1" eb="3">
      <t>ハシラア</t>
    </rPh>
    <rPh sb="8" eb="10">
      <t>スウリョウ</t>
    </rPh>
    <phoneticPr fontId="1"/>
  </si>
  <si>
    <t xml:space="preserve">合計金額1 </t>
    <rPh sb="0" eb="4">
      <t>ゴウケイキンガク</t>
    </rPh>
    <phoneticPr fontId="1"/>
  </si>
  <si>
    <t>合計金額2</t>
    <rPh sb="0" eb="4">
      <t>ゴウケイキンガク</t>
    </rPh>
    <phoneticPr fontId="1"/>
  </si>
  <si>
    <t>〇可能</t>
    <rPh sb="1" eb="3">
      <t>カノウ</t>
    </rPh>
    <phoneticPr fontId="1"/>
  </si>
  <si>
    <t>調査中</t>
    <rPh sb="0" eb="3">
      <t>チョウサチュウ</t>
    </rPh>
    <phoneticPr fontId="1"/>
  </si>
  <si>
    <t>〇</t>
    <phoneticPr fontId="1"/>
  </si>
  <si>
    <t>〇 amazon</t>
    <phoneticPr fontId="1"/>
  </si>
  <si>
    <t>〇URLから直接購入</t>
    <rPh sb="6" eb="8">
      <t>チョクセツ</t>
    </rPh>
    <rPh sb="8" eb="10">
      <t>コウニュウ</t>
    </rPh>
    <phoneticPr fontId="1"/>
  </si>
  <si>
    <r>
      <t xml:space="preserve">LUCID Vision Labs Atlas10 ATX081S-UC, Sony IMX487, 8.1MP, UV Camera
</t>
    </r>
    <r>
      <rPr>
        <sz val="11"/>
        <rFont val="游ゴシック"/>
        <family val="3"/>
        <charset val="128"/>
        <scheme val="minor"/>
      </rPr>
      <t>上記のedomondでも売っているが、在庫がない？</t>
    </r>
    <rPh sb="68" eb="70">
      <t>ジョウキ</t>
    </rPh>
    <rPh sb="80" eb="81">
      <t>ウ</t>
    </rPh>
    <rPh sb="87" eb="89">
      <t>ザイコ</t>
    </rPh>
    <phoneticPr fontId="1"/>
  </si>
  <si>
    <t>△直接取引も可能、メールでの注文</t>
    <rPh sb="1" eb="3">
      <t>チョクセツ</t>
    </rPh>
    <rPh sb="3" eb="5">
      <t>トリヒキ</t>
    </rPh>
    <rPh sb="6" eb="8">
      <t>カノウ</t>
    </rPh>
    <rPh sb="14" eb="16">
      <t>チュウモン</t>
    </rPh>
    <phoneticPr fontId="1"/>
  </si>
  <si>
    <t>〇モノタロウで購入可能
https://www.monotaro.com/p/6640/4477/?msockid=17dbcd587db66d9707eedbfb7c996cea</t>
    <rPh sb="7" eb="9">
      <t>コウニュウ</t>
    </rPh>
    <rPh sb="9" eb="11">
      <t>カノウ</t>
    </rPh>
    <phoneticPr fontId="1"/>
  </si>
  <si>
    <t>〇ミスミで購入可能
https://jp.misumi-ec.com/vona2/detail/223304131201/?msockid=17dbcd587db66d9707eedbfb7c996cea</t>
    <rPh sb="5" eb="7">
      <t>コウニュウ</t>
    </rPh>
    <rPh sb="7" eb="9">
      <t>カノウ</t>
    </rPh>
    <phoneticPr fontId="1"/>
  </si>
  <si>
    <t>△右URLまたは2つ上のアルゴでも取り扱い有り
問い合わせが必要</t>
    <rPh sb="1" eb="2">
      <t>ミギ</t>
    </rPh>
    <rPh sb="10" eb="11">
      <t>ウエ</t>
    </rPh>
    <rPh sb="17" eb="18">
      <t>ト</t>
    </rPh>
    <rPh sb="19" eb="20">
      <t>アツカ</t>
    </rPh>
    <rPh sb="21" eb="22">
      <t>ア</t>
    </rPh>
    <rPh sb="24" eb="25">
      <t>ト</t>
    </rPh>
    <rPh sb="26" eb="27">
      <t>ア</t>
    </rPh>
    <rPh sb="30" eb="32">
      <t>ヒツヨウ</t>
    </rPh>
    <phoneticPr fontId="1"/>
  </si>
  <si>
    <t>△問い合わせが必要</t>
    <rPh sb="1" eb="2">
      <t>ト</t>
    </rPh>
    <rPh sb="3" eb="4">
      <t>ア</t>
    </rPh>
    <rPh sb="7" eb="9">
      <t>ヒツヨウ</t>
    </rPh>
    <phoneticPr fontId="1"/>
  </si>
  <si>
    <r>
      <rPr>
        <sz val="11"/>
        <rFont val="游ゴシック"/>
        <family val="3"/>
        <charset val="128"/>
        <scheme val="minor"/>
      </rPr>
      <t>△</t>
    </r>
    <r>
      <rPr>
        <u/>
        <sz val="11"/>
        <color theme="10"/>
        <rFont val="游ゴシック"/>
        <family val="2"/>
        <charset val="128"/>
        <scheme val="minor"/>
      </rPr>
      <t xml:space="preserve">
UV投光器（UV LED FLOODLIGHT） / ナイトライド・セミコンダクター株式会社
</t>
    </r>
    <r>
      <rPr>
        <sz val="11"/>
        <rFont val="游ゴシック"/>
        <family val="3"/>
        <charset val="128"/>
        <scheme val="minor"/>
      </rPr>
      <t>直接見積依頼はできる</t>
    </r>
    <rPh sb="49" eb="51">
      <t>チョクセツ</t>
    </rPh>
    <rPh sb="51" eb="53">
      <t>ミツモリ</t>
    </rPh>
    <rPh sb="53" eb="55">
      <t>イライ</t>
    </rPh>
    <phoneticPr fontId="1"/>
  </si>
  <si>
    <r>
      <rPr>
        <sz val="11"/>
        <rFont val="游ゴシック"/>
        <family val="3"/>
        <charset val="128"/>
        <scheme val="minor"/>
      </rPr>
      <t>△</t>
    </r>
    <r>
      <rPr>
        <u/>
        <sz val="11"/>
        <color theme="10"/>
        <rFont val="游ゴシック"/>
        <family val="2"/>
        <charset val="128"/>
        <scheme val="minor"/>
      </rPr>
      <t xml:space="preserve">
UV投光器（UV LED FLOODLIGHT） / ナイトライド・セミコンダクター株式会社
</t>
    </r>
    <r>
      <rPr>
        <sz val="11"/>
        <rFont val="游ゴシック"/>
        <family val="3"/>
        <charset val="128"/>
        <scheme val="minor"/>
      </rPr>
      <t>直接見積依頼はできる(生産終了品)</t>
    </r>
    <rPh sb="49" eb="51">
      <t>チョクセツ</t>
    </rPh>
    <rPh sb="51" eb="53">
      <t>ミツモリ</t>
    </rPh>
    <rPh sb="53" eb="55">
      <t>イライ</t>
    </rPh>
    <rPh sb="60" eb="62">
      <t>セイサン</t>
    </rPh>
    <rPh sb="62" eb="65">
      <t>シュウリョウヒン</t>
    </rPh>
    <phoneticPr fontId="1"/>
  </si>
  <si>
    <t>〇右URLでネット購入可(@413160)</t>
    <rPh sb="1" eb="2">
      <t>ミギ</t>
    </rPh>
    <rPh sb="9" eb="11">
      <t>コウニュウ</t>
    </rPh>
    <rPh sb="11" eb="12">
      <t>カ</t>
    </rPh>
    <phoneticPr fontId="1"/>
  </si>
  <si>
    <t>〇右URLでネットで購入可能</t>
    <rPh sb="1" eb="2">
      <t>ミギ</t>
    </rPh>
    <rPh sb="10" eb="12">
      <t>コウニュウ</t>
    </rPh>
    <rPh sb="12" eb="14">
      <t>カノウ</t>
    </rPh>
    <phoneticPr fontId="1"/>
  </si>
  <si>
    <t>調達調査(11/21)</t>
    <rPh sb="0" eb="2">
      <t>チョウタツ</t>
    </rPh>
    <rPh sb="2" eb="4">
      <t>チョウサ</t>
    </rPh>
    <phoneticPr fontId="1"/>
  </si>
  <si>
    <t>購入可否調査(11/24)</t>
    <rPh sb="0" eb="2">
      <t>コウニュウ</t>
    </rPh>
    <rPh sb="2" eb="4">
      <t>カヒ</t>
    </rPh>
    <rPh sb="4" eb="6">
      <t>チョウサ</t>
    </rPh>
    <phoneticPr fontId="1"/>
  </si>
  <si>
    <t>〇都築取引の商社で購入可
ネットでも購入可</t>
    <rPh sb="1" eb="3">
      <t>ツヅキ</t>
    </rPh>
    <rPh sb="3" eb="5">
      <t>トリヒキ</t>
    </rPh>
    <rPh sb="6" eb="8">
      <t>ショウシャ</t>
    </rPh>
    <rPh sb="9" eb="11">
      <t>コウニュウ</t>
    </rPh>
    <rPh sb="11" eb="12">
      <t>カ</t>
    </rPh>
    <rPh sb="18" eb="20">
      <t>コウニュウ</t>
    </rPh>
    <rPh sb="20" eb="21">
      <t>カ</t>
    </rPh>
    <phoneticPr fontId="1"/>
  </si>
  <si>
    <t>納期</t>
    <rPh sb="0" eb="2">
      <t>ノウキ</t>
    </rPh>
    <phoneticPr fontId="1"/>
  </si>
  <si>
    <t>5日</t>
    <rPh sb="1" eb="2">
      <t>ニチ</t>
    </rPh>
    <phoneticPr fontId="1"/>
  </si>
  <si>
    <t>1W</t>
    <phoneticPr fontId="1"/>
  </si>
  <si>
    <t>4カ月</t>
    <rPh sb="2" eb="3">
      <t>ゲツ</t>
    </rPh>
    <phoneticPr fontId="1"/>
  </si>
  <si>
    <t>5週間</t>
    <rPh sb="1" eb="3">
      <t>シュウカン</t>
    </rPh>
    <phoneticPr fontId="1"/>
  </si>
  <si>
    <t>2～3日</t>
    <rPh sb="3" eb="4">
      <t>ニチ</t>
    </rPh>
    <phoneticPr fontId="1"/>
  </si>
  <si>
    <t>６日</t>
    <rPh sb="1" eb="2">
      <t>ニチ</t>
    </rPh>
    <phoneticPr fontId="1"/>
  </si>
  <si>
    <t>2～4w</t>
    <phoneticPr fontId="1"/>
  </si>
  <si>
    <t>2週間</t>
    <rPh sb="1" eb="3">
      <t>シュウカン</t>
    </rPh>
    <phoneticPr fontId="1"/>
  </si>
  <si>
    <t>1営業日</t>
    <rPh sb="1" eb="4">
      <t>エイギョウビ</t>
    </rPh>
    <phoneticPr fontId="1"/>
  </si>
  <si>
    <t>約３W</t>
    <rPh sb="0" eb="1">
      <t>ヤク</t>
    </rPh>
    <phoneticPr fontId="1"/>
  </si>
  <si>
    <t>☓</t>
    <phoneticPr fontId="1"/>
  </si>
  <si>
    <t>〇(双日様より確認が必要)</t>
    <rPh sb="2" eb="4">
      <t>ソウジツ</t>
    </rPh>
    <rPh sb="4" eb="5">
      <t>サマ</t>
    </rPh>
    <rPh sb="7" eb="9">
      <t>カクニン</t>
    </rPh>
    <rPh sb="10" eb="12">
      <t>ヒツヨウ</t>
    </rPh>
    <phoneticPr fontId="1"/>
  </si>
  <si>
    <t>1ドル156円</t>
    <phoneticPr fontId="1"/>
  </si>
  <si>
    <t>輸入に別途\10,000必要</t>
    <phoneticPr fontId="1"/>
  </si>
  <si>
    <t>双日調査より値上がりしていた</t>
    <phoneticPr fontId="1"/>
  </si>
  <si>
    <t>双日調査より値上がりしていた。ネットは\20,400</t>
    <phoneticPr fontId="1"/>
  </si>
  <si>
    <t>納期3w以上品デモ機調達可否(12/23)</t>
    <rPh sb="0" eb="2">
      <t>ノウキ</t>
    </rPh>
    <rPh sb="4" eb="6">
      <t>イジョウ</t>
    </rPh>
    <rPh sb="6" eb="7">
      <t>ヒン</t>
    </rPh>
    <rPh sb="9" eb="10">
      <t>キ</t>
    </rPh>
    <rPh sb="10" eb="12">
      <t>チョウタツ</t>
    </rPh>
    <rPh sb="12" eb="14">
      <t>カヒ</t>
    </rPh>
    <phoneticPr fontId="1"/>
  </si>
  <si>
    <t>レスター＞NED</t>
    <phoneticPr fontId="1"/>
  </si>
  <si>
    <t>発注先</t>
    <rPh sb="0" eb="3">
      <t>ハッチュウサキ</t>
    </rPh>
    <phoneticPr fontId="1"/>
  </si>
  <si>
    <t>都築産業</t>
    <rPh sb="0" eb="2">
      <t>ツヅキ</t>
    </rPh>
    <rPh sb="2" eb="4">
      <t>サンギョウ</t>
    </rPh>
    <phoneticPr fontId="1"/>
  </si>
  <si>
    <t>４週間</t>
    <rPh sb="1" eb="3">
      <t>シュウカン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</si>
</sst>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24" formatCode="\$#,##0_);[Red]\(\$#,##0\)"/>
    <numFmt numFmtId="26" formatCode="\$#,##0.00_);[Red]\(\$#,##0.00\)"/>
    <numFmt numFmtId="176" formatCode="#,##0_);[Red]\(#,##0\)"/>
    <numFmt numFmtId="177" formatCode="&quot;¥&quot;#,##0_);[Red]\(&quot;¥&quot;#,##0\)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theme="1"/>
      <name val="Segoe UI Symbol"/>
      <family val="2"/>
    </font>
    <font>
      <u/>
      <sz val="11"/>
      <color theme="10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6" fontId="0" fillId="0" borderId="0" xfId="0" applyNumberFormat="1">
      <alignment vertical="center"/>
    </xf>
    <xf numFmtId="2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0" xfId="1">
      <alignment vertical="center"/>
    </xf>
    <xf numFmtId="2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2" fillId="0" borderId="0" xfId="2">
      <alignment vertical="center"/>
    </xf>
    <xf numFmtId="176" fontId="0" fillId="0" borderId="0" xfId="0" applyNumberFormat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2" fillId="3" borderId="3" xfId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4" fillId="3" borderId="3" xfId="1" applyFont="1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4" fillId="4" borderId="0" xfId="1" applyFont="1" applyFill="1" applyBorder="1" applyAlignment="1">
      <alignment vertical="center" wrapText="1"/>
    </xf>
    <xf numFmtId="0" fontId="5" fillId="4" borderId="0" xfId="0" applyFont="1" applyFill="1">
      <alignment vertical="center"/>
    </xf>
    <xf numFmtId="0" fontId="6" fillId="4" borderId="0" xfId="1" applyFont="1" applyFill="1" applyBorder="1" applyAlignment="1">
      <alignment vertical="center" wrapText="1"/>
    </xf>
    <xf numFmtId="3" fontId="0" fillId="0" borderId="0" xfId="0" applyNumberFormat="1">
      <alignment vertical="center"/>
    </xf>
    <xf numFmtId="0" fontId="0" fillId="4" borderId="1" xfId="0" applyFill="1" applyBorder="1" applyAlignment="1">
      <alignment vertical="center" shrinkToFit="1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el-denshi.co.jp/FUJIFILM/HF6XA-5M.html" TargetMode="External"/><Relationship Id="rId13" Type="http://schemas.openxmlformats.org/officeDocument/2006/relationships/hyperlink" Target="https://kaago.com/officecreate/BS-MP2012/?itemcode=4981254041123" TargetMode="External"/><Relationship Id="rId3" Type="http://schemas.openxmlformats.org/officeDocument/2006/relationships/hyperlink" Target="https://www.argocorp.com/cam/usb3/tis/DYK33UX250.html" TargetMode="External"/><Relationship Id="rId7" Type="http://schemas.openxmlformats.org/officeDocument/2006/relationships/hyperlink" Target="https://www.argocorp.com/light/MBJ-Imaging/Barlights/HighPowerWideBarlight.html" TargetMode="External"/><Relationship Id="rId12" Type="http://schemas.openxmlformats.org/officeDocument/2006/relationships/hyperlink" Target="https://raspberry-pi.ksyic.com/main/index/pdp.id/1157/pdp.open/11572" TargetMode="External"/><Relationship Id="rId2" Type="http://schemas.openxmlformats.org/officeDocument/2006/relationships/hyperlink" Target="https://www.edmundoptics.jp/p/lucid-vision-labs-atlas10-atx124s-cc-sony-imx535-123mp-color-camera/45499/" TargetMode="External"/><Relationship Id="rId16" Type="http://schemas.openxmlformats.org/officeDocument/2006/relationships/hyperlink" Target="https://www.edmundoptics.jp/p/lucid-vision-labs-atlas10-atx081s-cc-sony-imx536-81mp-uv-camera/56134/" TargetMode="External"/><Relationship Id="rId1" Type="http://schemas.openxmlformats.org/officeDocument/2006/relationships/hyperlink" Target="https://www.daitron.co.jp/products/atlas_10gige.html" TargetMode="External"/><Relationship Id="rId6" Type="http://schemas.openxmlformats.org/officeDocument/2006/relationships/hyperlink" Target="https://www.argocorp.com/light/MBJ-Imaging/Barlights/WideBarlight.html" TargetMode="External"/><Relationship Id="rId11" Type="http://schemas.openxmlformats.org/officeDocument/2006/relationships/hyperlink" Target="https://www.switch-science.com/products/8886?srsltid=AfmBOoqMBuop3w5ED1EB2tlvDOZGxwNui37etq4wUK-rYP8Q42wpgmIZ" TargetMode="External"/><Relationship Id="rId5" Type="http://schemas.openxmlformats.org/officeDocument/2006/relationships/hyperlink" Target="https://www.argocorp.com/light/MBJ-Imaging/Controller/CTR-52.html" TargetMode="External"/><Relationship Id="rId15" Type="http://schemas.openxmlformats.org/officeDocument/2006/relationships/hyperlink" Target="https://www.nitride.co.jp/products/uvfloodlight.html" TargetMode="External"/><Relationship Id="rId10" Type="http://schemas.openxmlformats.org/officeDocument/2006/relationships/hyperlink" Target="https://www.lasercreate.com/products/camera_colorglass_filter/price/UV-VIS_bandpass_325-660nm_price.html" TargetMode="External"/><Relationship Id="rId4" Type="http://schemas.openxmlformats.org/officeDocument/2006/relationships/hyperlink" Target="https://www.uniel-denshi.co.jp/CBC/V0826-MPZ.html" TargetMode="External"/><Relationship Id="rId9" Type="http://schemas.openxmlformats.org/officeDocument/2006/relationships/hyperlink" Target="https://www.universekk.com/lineup/?id=1656647688-834188" TargetMode="External"/><Relationship Id="rId14" Type="http://schemas.openxmlformats.org/officeDocument/2006/relationships/hyperlink" Target="https://www.nitride.co.jp/products/uvfloodligh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EFB2-C886-49E6-9ABA-A8A9E6B2519E}">
  <dimension ref="B1:S36"/>
  <sheetViews>
    <sheetView tabSelected="1" workbookViewId="0">
      <selection activeCell="F28" sqref="F28"/>
    </sheetView>
  </sheetViews>
  <sheetFormatPr defaultRowHeight="18.75"/>
  <cols>
    <col min="1" max="1" width="10" customWidth="1"/>
    <col min="2" max="2" width="16.5" customWidth="1"/>
    <col min="3" max="3" width="12" customWidth="1"/>
    <col min="4" max="4" width="31.25" customWidth="1"/>
    <col min="5" max="5" width="27.375" customWidth="1"/>
    <col min="6" max="6" width="44.5" bestFit="1" customWidth="1"/>
    <col min="7" max="8" width="19.5" customWidth="1"/>
    <col min="9" max="9" width="36.125" customWidth="1"/>
    <col min="10" max="10" width="26.375" customWidth="1"/>
    <col min="11" max="11" width="12" customWidth="1"/>
    <col min="13" max="13" width="9" style="21"/>
    <col min="14" max="14" width="11.5" customWidth="1"/>
    <col min="15" max="15" width="11.5" style="21" customWidth="1"/>
    <col min="16" max="16" width="14.25" bestFit="1" customWidth="1"/>
    <col min="17" max="18" width="14.25" customWidth="1"/>
    <col min="19" max="19" width="58.625" customWidth="1"/>
  </cols>
  <sheetData>
    <row r="1" spans="2:19">
      <c r="N1" t="s">
        <v>0</v>
      </c>
      <c r="P1" s="3">
        <f>SUM(P3:P27)</f>
        <v>9722266</v>
      </c>
      <c r="Q1" s="3">
        <f>SUM(Q3:Q27)</f>
        <v>28127666</v>
      </c>
      <c r="R1" s="3"/>
    </row>
    <row r="2" spans="2:19" s="6" customFormat="1" ht="19.5" thickBot="1">
      <c r="B2" s="6" t="s">
        <v>158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11" t="s">
        <v>136</v>
      </c>
      <c r="I2" s="6" t="s">
        <v>137</v>
      </c>
      <c r="J2" s="32" t="s">
        <v>156</v>
      </c>
      <c r="K2" s="6" t="s">
        <v>6</v>
      </c>
      <c r="L2" s="6" t="s">
        <v>7</v>
      </c>
      <c r="M2" s="22" t="s">
        <v>139</v>
      </c>
      <c r="N2" s="6" t="s">
        <v>8</v>
      </c>
      <c r="O2" s="22" t="s">
        <v>139</v>
      </c>
      <c r="P2" s="6" t="s">
        <v>119</v>
      </c>
      <c r="Q2" s="6" t="s">
        <v>120</v>
      </c>
      <c r="R2" s="6" t="s">
        <v>9</v>
      </c>
      <c r="S2" s="6" t="s">
        <v>10</v>
      </c>
    </row>
    <row r="3" spans="2:19">
      <c r="B3" t="s">
        <v>159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s="12" t="s">
        <v>121</v>
      </c>
      <c r="I3" s="15" t="s">
        <v>123</v>
      </c>
      <c r="J3" s="26"/>
      <c r="K3">
        <v>613406</v>
      </c>
      <c r="L3">
        <v>1</v>
      </c>
      <c r="M3" s="23"/>
      <c r="N3">
        <v>1</v>
      </c>
      <c r="O3" s="23"/>
      <c r="P3" s="3">
        <f t="shared" ref="P3:P11" si="0">K3*L3</f>
        <v>613406</v>
      </c>
      <c r="Q3" s="3">
        <f>P3</f>
        <v>613406</v>
      </c>
      <c r="R3" s="3" t="s">
        <v>15</v>
      </c>
    </row>
    <row r="4" spans="2:19">
      <c r="B4" t="s">
        <v>159</v>
      </c>
      <c r="C4" t="s">
        <v>16</v>
      </c>
      <c r="D4" t="s">
        <v>17</v>
      </c>
      <c r="E4" t="s">
        <v>18</v>
      </c>
      <c r="G4" t="s">
        <v>19</v>
      </c>
      <c r="H4" s="12" t="s">
        <v>121</v>
      </c>
      <c r="I4" s="16" t="s">
        <v>124</v>
      </c>
      <c r="J4" s="26"/>
      <c r="K4">
        <v>4000</v>
      </c>
      <c r="L4">
        <v>4</v>
      </c>
      <c r="M4" s="24" t="s">
        <v>140</v>
      </c>
      <c r="N4">
        <v>4</v>
      </c>
      <c r="O4" s="24" t="s">
        <v>140</v>
      </c>
      <c r="P4" s="3">
        <f t="shared" si="0"/>
        <v>16000</v>
      </c>
      <c r="Q4" s="3">
        <f t="shared" ref="Q4:Q26" si="1">K4*N4</f>
        <v>16000</v>
      </c>
      <c r="R4" s="3"/>
      <c r="S4" t="s">
        <v>20</v>
      </c>
    </row>
    <row r="5" spans="2:19">
      <c r="B5" t="s">
        <v>159</v>
      </c>
      <c r="C5" t="s">
        <v>21</v>
      </c>
      <c r="D5" t="s">
        <v>22</v>
      </c>
      <c r="E5" t="s">
        <v>117</v>
      </c>
      <c r="H5" s="12" t="s">
        <v>121</v>
      </c>
      <c r="I5" s="16" t="s">
        <v>123</v>
      </c>
      <c r="J5" s="26"/>
      <c r="K5" s="31">
        <v>280000</v>
      </c>
      <c r="L5">
        <v>1</v>
      </c>
      <c r="M5" s="24"/>
      <c r="N5">
        <v>1</v>
      </c>
      <c r="O5" s="24"/>
      <c r="P5" s="3">
        <f t="shared" si="0"/>
        <v>280000</v>
      </c>
      <c r="Q5" s="3">
        <f t="shared" si="1"/>
        <v>280000</v>
      </c>
      <c r="R5" s="3"/>
    </row>
    <row r="6" spans="2:19">
      <c r="B6" t="s">
        <v>159</v>
      </c>
      <c r="C6" t="s">
        <v>23</v>
      </c>
      <c r="D6" t="s">
        <v>24</v>
      </c>
      <c r="E6" t="s">
        <v>25</v>
      </c>
      <c r="G6" t="s">
        <v>19</v>
      </c>
      <c r="H6" s="12" t="s">
        <v>121</v>
      </c>
      <c r="I6" s="16" t="s">
        <v>124</v>
      </c>
      <c r="J6" s="26"/>
      <c r="K6">
        <v>13000</v>
      </c>
      <c r="L6">
        <v>2</v>
      </c>
      <c r="M6" s="24" t="s">
        <v>141</v>
      </c>
      <c r="N6">
        <v>2</v>
      </c>
      <c r="O6" s="24" t="s">
        <v>141</v>
      </c>
      <c r="P6" s="3">
        <f t="shared" si="0"/>
        <v>26000</v>
      </c>
      <c r="Q6" s="3">
        <f t="shared" si="1"/>
        <v>26000</v>
      </c>
      <c r="R6" s="3"/>
      <c r="S6" t="s">
        <v>26</v>
      </c>
    </row>
    <row r="7" spans="2:19">
      <c r="B7" t="s">
        <v>159</v>
      </c>
      <c r="D7" t="s">
        <v>27</v>
      </c>
      <c r="E7" t="s">
        <v>28</v>
      </c>
      <c r="F7" t="s">
        <v>29</v>
      </c>
      <c r="H7" s="12" t="s">
        <v>121</v>
      </c>
      <c r="I7" s="16" t="s">
        <v>124</v>
      </c>
      <c r="J7" s="26"/>
      <c r="K7">
        <v>2000</v>
      </c>
      <c r="L7">
        <v>3</v>
      </c>
      <c r="M7" s="24" t="s">
        <v>141</v>
      </c>
      <c r="N7">
        <v>3</v>
      </c>
      <c r="O7" s="24" t="s">
        <v>141</v>
      </c>
      <c r="P7" s="3">
        <f t="shared" si="0"/>
        <v>6000</v>
      </c>
      <c r="Q7" s="3">
        <f t="shared" si="1"/>
        <v>6000</v>
      </c>
      <c r="R7" s="3"/>
      <c r="S7" t="s">
        <v>30</v>
      </c>
    </row>
    <row r="8" spans="2:19">
      <c r="B8" t="s">
        <v>159</v>
      </c>
      <c r="C8" t="s">
        <v>31</v>
      </c>
      <c r="D8" t="s">
        <v>32</v>
      </c>
      <c r="E8" t="s">
        <v>33</v>
      </c>
      <c r="F8" t="s">
        <v>34</v>
      </c>
      <c r="H8" s="12" t="s">
        <v>121</v>
      </c>
      <c r="I8" s="16" t="s">
        <v>124</v>
      </c>
      <c r="J8" s="26"/>
      <c r="K8">
        <v>2500</v>
      </c>
      <c r="L8">
        <v>10</v>
      </c>
      <c r="M8" s="24" t="s">
        <v>141</v>
      </c>
      <c r="N8">
        <v>10</v>
      </c>
      <c r="O8" s="24" t="s">
        <v>141</v>
      </c>
      <c r="P8" s="3">
        <f t="shared" si="0"/>
        <v>25000</v>
      </c>
      <c r="Q8" s="3">
        <f t="shared" si="1"/>
        <v>25000</v>
      </c>
      <c r="R8" s="3"/>
      <c r="S8" t="s">
        <v>35</v>
      </c>
    </row>
    <row r="9" spans="2:19">
      <c r="H9" s="13"/>
      <c r="I9" s="16"/>
      <c r="J9" s="26"/>
      <c r="M9" s="24"/>
      <c r="O9" s="24"/>
      <c r="P9" s="3">
        <f t="shared" si="0"/>
        <v>0</v>
      </c>
      <c r="Q9" s="3">
        <f t="shared" si="1"/>
        <v>0</v>
      </c>
      <c r="R9" s="3"/>
    </row>
    <row r="10" spans="2:19">
      <c r="H10" s="13"/>
      <c r="I10" s="16"/>
      <c r="J10" s="26"/>
      <c r="M10" s="24"/>
      <c r="O10" s="24"/>
      <c r="P10" s="3">
        <f t="shared" si="0"/>
        <v>0</v>
      </c>
      <c r="Q10" s="3">
        <f t="shared" si="1"/>
        <v>0</v>
      </c>
      <c r="R10" s="3"/>
    </row>
    <row r="11" spans="2:19">
      <c r="B11" t="s">
        <v>157</v>
      </c>
      <c r="C11" t="s">
        <v>36</v>
      </c>
      <c r="E11" t="s">
        <v>37</v>
      </c>
      <c r="F11" t="s">
        <v>38</v>
      </c>
      <c r="G11" t="s">
        <v>39</v>
      </c>
      <c r="H11" s="13" t="s">
        <v>122</v>
      </c>
      <c r="I11" s="16" t="s">
        <v>125</v>
      </c>
      <c r="J11" s="29" t="s">
        <v>150</v>
      </c>
      <c r="K11" s="1">
        <v>367500</v>
      </c>
      <c r="L11">
        <v>2</v>
      </c>
      <c r="M11" s="24" t="s">
        <v>160</v>
      </c>
      <c r="N11">
        <v>10</v>
      </c>
      <c r="O11" s="24" t="s">
        <v>142</v>
      </c>
      <c r="P11" s="3">
        <f t="shared" si="0"/>
        <v>735000</v>
      </c>
      <c r="Q11" s="3">
        <f t="shared" si="1"/>
        <v>3675000</v>
      </c>
      <c r="R11" s="3"/>
      <c r="S11" s="4" t="s">
        <v>40</v>
      </c>
    </row>
    <row r="12" spans="2:19" ht="75">
      <c r="B12" t="s">
        <v>157</v>
      </c>
      <c r="E12" t="s">
        <v>41</v>
      </c>
      <c r="F12" t="s">
        <v>42</v>
      </c>
      <c r="G12" t="s">
        <v>43</v>
      </c>
      <c r="H12" s="13" t="s">
        <v>122</v>
      </c>
      <c r="I12" s="17" t="s">
        <v>126</v>
      </c>
      <c r="J12" s="30" t="s">
        <v>150</v>
      </c>
      <c r="K12" s="2">
        <v>5950</v>
      </c>
      <c r="L12">
        <v>2</v>
      </c>
      <c r="M12" s="24" t="s">
        <v>160</v>
      </c>
      <c r="N12">
        <v>7</v>
      </c>
      <c r="O12" s="24" t="s">
        <v>142</v>
      </c>
      <c r="P12" s="3">
        <f>K12*L12*156</f>
        <v>1856400</v>
      </c>
      <c r="Q12" s="3">
        <f>K12*N12*156</f>
        <v>6497400</v>
      </c>
      <c r="R12" s="3" t="s">
        <v>152</v>
      </c>
      <c r="S12" s="4" t="s">
        <v>44</v>
      </c>
    </row>
    <row r="13" spans="2:19">
      <c r="B13" t="s">
        <v>159</v>
      </c>
      <c r="E13" t="s">
        <v>45</v>
      </c>
      <c r="F13" t="s">
        <v>46</v>
      </c>
      <c r="G13" t="s">
        <v>47</v>
      </c>
      <c r="H13" s="13" t="s">
        <v>122</v>
      </c>
      <c r="I13" s="16" t="s">
        <v>127</v>
      </c>
      <c r="J13" s="26" t="s">
        <v>151</v>
      </c>
      <c r="K13" s="1">
        <v>440000</v>
      </c>
      <c r="L13">
        <v>2</v>
      </c>
      <c r="M13" s="24" t="s">
        <v>143</v>
      </c>
      <c r="N13">
        <v>6</v>
      </c>
      <c r="O13" s="24" t="s">
        <v>143</v>
      </c>
      <c r="P13" s="3">
        <f>K13*L13</f>
        <v>880000</v>
      </c>
      <c r="Q13" s="3">
        <f t="shared" si="1"/>
        <v>2640000</v>
      </c>
      <c r="R13" s="3"/>
      <c r="S13" s="4" t="s">
        <v>48</v>
      </c>
    </row>
    <row r="14" spans="2:19" ht="75">
      <c r="B14" t="s">
        <v>159</v>
      </c>
      <c r="E14" t="s">
        <v>49</v>
      </c>
      <c r="F14" t="s">
        <v>50</v>
      </c>
      <c r="G14" t="s">
        <v>51</v>
      </c>
      <c r="H14" s="13" t="s">
        <v>122</v>
      </c>
      <c r="I14" s="18" t="s">
        <v>128</v>
      </c>
      <c r="J14" s="27"/>
      <c r="K14" s="1">
        <v>80000</v>
      </c>
      <c r="L14">
        <v>2</v>
      </c>
      <c r="M14" s="24" t="s">
        <v>144</v>
      </c>
      <c r="N14">
        <v>10</v>
      </c>
      <c r="O14" s="24" t="s">
        <v>149</v>
      </c>
      <c r="P14" s="3">
        <f>K14*L14</f>
        <v>160000</v>
      </c>
      <c r="Q14" s="3">
        <f t="shared" si="1"/>
        <v>800000</v>
      </c>
      <c r="R14" s="3"/>
      <c r="S14" s="4" t="s">
        <v>52</v>
      </c>
    </row>
    <row r="15" spans="2:19" ht="93.75">
      <c r="B15" t="s">
        <v>159</v>
      </c>
      <c r="E15" t="s">
        <v>49</v>
      </c>
      <c r="F15" t="s">
        <v>53</v>
      </c>
      <c r="G15" t="s">
        <v>51</v>
      </c>
      <c r="H15" s="13" t="s">
        <v>122</v>
      </c>
      <c r="I15" s="18" t="s">
        <v>129</v>
      </c>
      <c r="J15" s="27"/>
      <c r="K15" s="1">
        <v>40800</v>
      </c>
      <c r="L15">
        <v>2</v>
      </c>
      <c r="M15" s="24" t="s">
        <v>145</v>
      </c>
      <c r="N15">
        <v>10</v>
      </c>
      <c r="O15" s="24"/>
      <c r="P15" s="3">
        <f>K15*L15</f>
        <v>81600</v>
      </c>
      <c r="Q15" s="3">
        <f t="shared" si="1"/>
        <v>408000</v>
      </c>
      <c r="R15" s="3"/>
      <c r="S15" s="4" t="s">
        <v>54</v>
      </c>
    </row>
    <row r="16" spans="2:19" ht="56.25">
      <c r="B16" t="s">
        <v>159</v>
      </c>
      <c r="E16" t="s">
        <v>55</v>
      </c>
      <c r="F16" t="s">
        <v>56</v>
      </c>
      <c r="G16" t="s">
        <v>57</v>
      </c>
      <c r="H16" s="13" t="s">
        <v>122</v>
      </c>
      <c r="I16" s="18" t="s">
        <v>130</v>
      </c>
      <c r="J16" s="26" t="s">
        <v>151</v>
      </c>
      <c r="K16" s="5">
        <v>1400</v>
      </c>
      <c r="L16">
        <v>2</v>
      </c>
      <c r="M16" s="24" t="s">
        <v>143</v>
      </c>
      <c r="N16">
        <v>7</v>
      </c>
      <c r="O16" s="24" t="s">
        <v>143</v>
      </c>
      <c r="P16" s="3">
        <f>K16*L16*156</f>
        <v>436800</v>
      </c>
      <c r="Q16" s="3">
        <f>K16*N16*156</f>
        <v>1528800</v>
      </c>
      <c r="R16" s="3" t="s">
        <v>152</v>
      </c>
      <c r="S16" s="4" t="s">
        <v>58</v>
      </c>
    </row>
    <row r="17" spans="2:19">
      <c r="B17" t="s">
        <v>159</v>
      </c>
      <c r="C17" t="s">
        <v>59</v>
      </c>
      <c r="E17" t="s">
        <v>60</v>
      </c>
      <c r="F17" t="s">
        <v>61</v>
      </c>
      <c r="G17" t="s">
        <v>62</v>
      </c>
      <c r="H17" s="13" t="s">
        <v>122</v>
      </c>
      <c r="I17" s="18" t="s">
        <v>131</v>
      </c>
      <c r="J17" s="27"/>
      <c r="K17" s="1">
        <v>22000</v>
      </c>
      <c r="L17">
        <v>2</v>
      </c>
      <c r="M17" s="24" t="s">
        <v>146</v>
      </c>
      <c r="N17">
        <v>7</v>
      </c>
      <c r="O17" s="24" t="s">
        <v>146</v>
      </c>
      <c r="P17" s="3">
        <f t="shared" ref="P17:P27" si="2">K17*L17</f>
        <v>44000</v>
      </c>
      <c r="Q17" s="3">
        <f t="shared" si="1"/>
        <v>154000</v>
      </c>
      <c r="R17" s="3" t="s">
        <v>153</v>
      </c>
      <c r="S17" s="4" t="s">
        <v>63</v>
      </c>
    </row>
    <row r="18" spans="2:19">
      <c r="B18" t="s">
        <v>159</v>
      </c>
      <c r="H18" s="13"/>
      <c r="I18" s="16"/>
      <c r="J18" s="26"/>
      <c r="M18" s="24"/>
      <c r="O18" s="24"/>
      <c r="P18" s="3">
        <f t="shared" si="2"/>
        <v>0</v>
      </c>
      <c r="Q18" s="3">
        <f t="shared" si="1"/>
        <v>0</v>
      </c>
      <c r="R18" s="3"/>
    </row>
    <row r="19" spans="2:19">
      <c r="B19" t="s">
        <v>159</v>
      </c>
      <c r="C19" t="s">
        <v>64</v>
      </c>
      <c r="E19" t="s">
        <v>65</v>
      </c>
      <c r="F19" t="s">
        <v>66</v>
      </c>
      <c r="G19" t="s">
        <v>47</v>
      </c>
      <c r="H19" s="13" t="s">
        <v>122</v>
      </c>
      <c r="I19" s="16" t="s">
        <v>127</v>
      </c>
      <c r="J19" s="26" t="s">
        <v>151</v>
      </c>
      <c r="K19" s="1">
        <v>130000</v>
      </c>
      <c r="L19">
        <v>4</v>
      </c>
      <c r="M19" s="24" t="s">
        <v>143</v>
      </c>
      <c r="N19">
        <v>20</v>
      </c>
      <c r="O19" s="24" t="s">
        <v>143</v>
      </c>
      <c r="P19" s="3">
        <f t="shared" si="2"/>
        <v>520000</v>
      </c>
      <c r="Q19" s="3">
        <f t="shared" si="1"/>
        <v>2600000</v>
      </c>
      <c r="R19" s="3"/>
      <c r="S19" s="4" t="s">
        <v>67</v>
      </c>
    </row>
    <row r="20" spans="2:19">
      <c r="B20" t="s">
        <v>159</v>
      </c>
      <c r="E20" t="s">
        <v>68</v>
      </c>
      <c r="F20" t="s">
        <v>69</v>
      </c>
      <c r="G20" t="s">
        <v>47</v>
      </c>
      <c r="H20" s="13" t="s">
        <v>122</v>
      </c>
      <c r="I20" s="16" t="s">
        <v>127</v>
      </c>
      <c r="J20" s="26" t="s">
        <v>151</v>
      </c>
      <c r="K20" s="1">
        <v>86000</v>
      </c>
      <c r="L20">
        <v>4</v>
      </c>
      <c r="M20" s="24" t="s">
        <v>143</v>
      </c>
      <c r="N20">
        <v>20</v>
      </c>
      <c r="O20" s="24" t="s">
        <v>143</v>
      </c>
      <c r="P20" s="3">
        <f t="shared" si="2"/>
        <v>344000</v>
      </c>
      <c r="Q20" s="3">
        <f t="shared" si="1"/>
        <v>1720000</v>
      </c>
      <c r="R20" s="3"/>
      <c r="S20" s="4" t="s">
        <v>70</v>
      </c>
    </row>
    <row r="21" spans="2:19">
      <c r="B21" t="s">
        <v>159</v>
      </c>
      <c r="E21" t="s">
        <v>71</v>
      </c>
      <c r="F21" t="s">
        <v>72</v>
      </c>
      <c r="G21" t="s">
        <v>47</v>
      </c>
      <c r="H21" s="13" t="s">
        <v>122</v>
      </c>
      <c r="I21" s="16" t="s">
        <v>127</v>
      </c>
      <c r="J21" s="26" t="s">
        <v>151</v>
      </c>
      <c r="K21" s="1">
        <v>215000</v>
      </c>
      <c r="L21">
        <v>4</v>
      </c>
      <c r="M21" s="24" t="s">
        <v>143</v>
      </c>
      <c r="N21">
        <v>20</v>
      </c>
      <c r="O21" s="24" t="s">
        <v>143</v>
      </c>
      <c r="P21" s="3">
        <f t="shared" si="2"/>
        <v>860000</v>
      </c>
      <c r="Q21" s="3">
        <f t="shared" si="1"/>
        <v>4300000</v>
      </c>
      <c r="R21" s="3"/>
      <c r="S21" s="4" t="s">
        <v>73</v>
      </c>
    </row>
    <row r="22" spans="2:19" ht="75">
      <c r="B22" t="s">
        <v>159</v>
      </c>
      <c r="E22" t="s">
        <v>74</v>
      </c>
      <c r="F22" s="7" t="s">
        <v>75</v>
      </c>
      <c r="G22" s="7" t="s">
        <v>76</v>
      </c>
      <c r="H22" s="14" t="s">
        <v>122</v>
      </c>
      <c r="I22" s="19" t="s">
        <v>132</v>
      </c>
      <c r="J22" s="28"/>
      <c r="K22" s="8">
        <v>253000</v>
      </c>
      <c r="L22">
        <v>2</v>
      </c>
      <c r="M22" s="24" t="s">
        <v>147</v>
      </c>
      <c r="N22">
        <v>2</v>
      </c>
      <c r="O22" s="24" t="s">
        <v>147</v>
      </c>
      <c r="P22" s="3">
        <f t="shared" si="2"/>
        <v>506000</v>
      </c>
      <c r="Q22" s="3">
        <f t="shared" si="1"/>
        <v>506000</v>
      </c>
      <c r="R22" s="10" t="s">
        <v>77</v>
      </c>
    </row>
    <row r="23" spans="2:19" ht="75">
      <c r="B23" t="s">
        <v>159</v>
      </c>
      <c r="E23" t="s">
        <v>74</v>
      </c>
      <c r="F23" s="7" t="s">
        <v>78</v>
      </c>
      <c r="G23" s="7" t="s">
        <v>76</v>
      </c>
      <c r="H23" s="14" t="s">
        <v>122</v>
      </c>
      <c r="I23" s="19" t="s">
        <v>133</v>
      </c>
      <c r="J23" s="28"/>
      <c r="K23" s="8">
        <v>438000</v>
      </c>
      <c r="L23">
        <v>2</v>
      </c>
      <c r="M23" s="24" t="s">
        <v>147</v>
      </c>
      <c r="N23">
        <v>2</v>
      </c>
      <c r="O23" s="24" t="s">
        <v>147</v>
      </c>
      <c r="P23" s="3">
        <f t="shared" si="2"/>
        <v>876000</v>
      </c>
      <c r="Q23" s="3">
        <f t="shared" si="1"/>
        <v>876000</v>
      </c>
      <c r="R23" s="10" t="s">
        <v>77</v>
      </c>
    </row>
    <row r="24" spans="2:19">
      <c r="B24" t="s">
        <v>159</v>
      </c>
      <c r="D24" t="s">
        <v>79</v>
      </c>
      <c r="E24" t="s">
        <v>80</v>
      </c>
      <c r="F24" t="s">
        <v>81</v>
      </c>
      <c r="G24" t="s">
        <v>82</v>
      </c>
      <c r="H24" s="13" t="s">
        <v>121</v>
      </c>
      <c r="I24" s="16" t="s">
        <v>134</v>
      </c>
      <c r="J24" s="26"/>
      <c r="K24" s="1">
        <v>413160</v>
      </c>
      <c r="L24">
        <v>3</v>
      </c>
      <c r="M24" s="24" t="s">
        <v>144</v>
      </c>
      <c r="N24">
        <v>3</v>
      </c>
      <c r="O24" s="24" t="s">
        <v>144</v>
      </c>
      <c r="P24" s="3">
        <f t="shared" si="2"/>
        <v>1239480</v>
      </c>
      <c r="Q24" s="3">
        <f t="shared" si="1"/>
        <v>1239480</v>
      </c>
      <c r="R24" s="3" t="s">
        <v>154</v>
      </c>
      <c r="S24" s="4" t="s">
        <v>83</v>
      </c>
    </row>
    <row r="25" spans="2:19" ht="37.5">
      <c r="B25" t="s">
        <v>159</v>
      </c>
      <c r="D25" t="s">
        <v>84</v>
      </c>
      <c r="E25" t="s">
        <v>85</v>
      </c>
      <c r="F25" t="s">
        <v>86</v>
      </c>
      <c r="G25" t="s">
        <v>87</v>
      </c>
      <c r="H25" s="13" t="s">
        <v>121</v>
      </c>
      <c r="I25" s="18" t="s">
        <v>138</v>
      </c>
      <c r="J25" s="27"/>
      <c r="K25" s="1">
        <v>33000</v>
      </c>
      <c r="L25">
        <v>2</v>
      </c>
      <c r="M25" s="24" t="s">
        <v>141</v>
      </c>
      <c r="N25">
        <v>2</v>
      </c>
      <c r="O25" s="24" t="s">
        <v>141</v>
      </c>
      <c r="P25" s="3">
        <f t="shared" si="2"/>
        <v>66000</v>
      </c>
      <c r="Q25" s="3">
        <f t="shared" si="1"/>
        <v>66000</v>
      </c>
      <c r="R25" s="3" t="s">
        <v>155</v>
      </c>
      <c r="S25" s="4" t="s">
        <v>88</v>
      </c>
    </row>
    <row r="26" spans="2:19">
      <c r="B26" t="s">
        <v>159</v>
      </c>
      <c r="H26" s="13"/>
      <c r="I26" s="16"/>
      <c r="J26" s="26"/>
      <c r="M26" s="24"/>
      <c r="O26" s="24"/>
      <c r="P26" s="3">
        <f t="shared" si="2"/>
        <v>0</v>
      </c>
      <c r="Q26" s="3">
        <f t="shared" si="1"/>
        <v>0</v>
      </c>
      <c r="R26" s="3"/>
    </row>
    <row r="27" spans="2:19" ht="37.5">
      <c r="B27" t="s">
        <v>159</v>
      </c>
      <c r="C27" t="s">
        <v>89</v>
      </c>
      <c r="D27" t="s">
        <v>90</v>
      </c>
      <c r="E27" t="s">
        <v>91</v>
      </c>
      <c r="F27" s="7" t="s">
        <v>92</v>
      </c>
      <c r="G27" t="s">
        <v>93</v>
      </c>
      <c r="H27" s="13" t="s">
        <v>122</v>
      </c>
      <c r="I27" s="20" t="s">
        <v>135</v>
      </c>
      <c r="J27" s="26"/>
      <c r="K27" s="8">
        <v>150580</v>
      </c>
      <c r="L27">
        <v>1</v>
      </c>
      <c r="M27" s="24" t="s">
        <v>148</v>
      </c>
      <c r="N27">
        <v>1</v>
      </c>
      <c r="O27" s="24" t="s">
        <v>148</v>
      </c>
      <c r="P27" s="3">
        <f t="shared" si="2"/>
        <v>150580</v>
      </c>
      <c r="Q27" s="3">
        <f>K27*N27</f>
        <v>150580</v>
      </c>
      <c r="R27" s="3" t="s">
        <v>94</v>
      </c>
      <c r="S27" s="9" t="s">
        <v>95</v>
      </c>
    </row>
    <row r="28" spans="2:19">
      <c r="P28" s="3"/>
      <c r="Q28" s="3"/>
      <c r="R28" s="3"/>
    </row>
    <row r="29" spans="2:19">
      <c r="P29" s="3"/>
      <c r="Q29" s="3"/>
      <c r="R29" s="3"/>
    </row>
    <row r="30" spans="2:19">
      <c r="P30" s="3"/>
      <c r="Q30" s="3">
        <f>SUM(Q11:Q27)</f>
        <v>27161260</v>
      </c>
      <c r="R30" s="3"/>
    </row>
    <row r="31" spans="2:19">
      <c r="P31" s="3"/>
      <c r="Q31" s="3"/>
      <c r="R31" s="3"/>
    </row>
    <row r="32" spans="2:19">
      <c r="P32" s="3"/>
      <c r="Q32" s="3"/>
      <c r="R32" s="3"/>
    </row>
    <row r="33" spans="15:18">
      <c r="P33" s="3"/>
      <c r="Q33" s="3"/>
      <c r="R33" s="3"/>
    </row>
    <row r="34" spans="15:18">
      <c r="O34" s="25"/>
      <c r="P34" s="3"/>
      <c r="Q34" s="3"/>
      <c r="R34" s="3"/>
    </row>
    <row r="35" spans="15:18">
      <c r="P35" s="3"/>
      <c r="Q35" s="3"/>
      <c r="R35" s="3"/>
    </row>
    <row r="36" spans="15:18">
      <c r="P36" s="3"/>
      <c r="Q36" s="3"/>
      <c r="R36" s="3"/>
    </row>
  </sheetData>
  <phoneticPr fontId="1"/>
  <hyperlinks>
    <hyperlink ref="S12" r:id="rId1" xr:uid="{3F695BDD-C5A8-48FC-B63F-A70850CEDD0B}"/>
    <hyperlink ref="S11" r:id="rId2" xr:uid="{0FA5C4AE-46BF-4C7C-BACC-DE4364B1F234}"/>
    <hyperlink ref="S13" r:id="rId3" xr:uid="{E49541D7-6104-49E4-B723-29E600FA4506}"/>
    <hyperlink ref="S14" r:id="rId4" xr:uid="{560FDD2C-CA6D-4855-9C84-BEFE5BBC0CDF}"/>
    <hyperlink ref="S19" r:id="rId5" xr:uid="{47CF1A92-CD8C-4FCD-846E-44D60D83EF8B}"/>
    <hyperlink ref="S20" r:id="rId6" location="WBL-0440" xr:uid="{EF1E3AA7-257C-43C0-B98B-FF53F025A480}"/>
    <hyperlink ref="S21" r:id="rId7" xr:uid="{DD29961F-3267-4CBB-A45C-E64E296728B8}"/>
    <hyperlink ref="S15" r:id="rId8" xr:uid="{FE6D3043-7A48-4851-BA8F-FE2D5C82149E}"/>
    <hyperlink ref="S16" r:id="rId9" xr:uid="{7BEBFE3E-6CFD-49DE-A1BA-EF69606A5196}"/>
    <hyperlink ref="S17" r:id="rId10" xr:uid="{3DDDB178-6D6D-4ECC-8191-7B01EE96F698}"/>
    <hyperlink ref="S24" r:id="rId11" xr:uid="{9FE80099-0EFD-41E4-8D7F-C6D557D59B06}"/>
    <hyperlink ref="S25" r:id="rId12" xr:uid="{B63CA6A4-1741-4C39-9563-7D8287184883}"/>
    <hyperlink ref="S27" r:id="rId13" xr:uid="{958736B2-3057-422A-960F-4A35A96E0A6F}"/>
    <hyperlink ref="I23" r:id="rId14" display="https://www.nitride.co.jp/products/uvfloodlight.html" xr:uid="{F4107776-9E02-4D20-B5B7-8038745D6D56}"/>
    <hyperlink ref="I22" r:id="rId15" display="https://www.nitride.co.jp/products/uvfloodlight.html" xr:uid="{E1362B67-71C1-4E7B-96C8-3C400AC2970E}"/>
    <hyperlink ref="I12" r:id="rId16" display="https://www.edmundoptics.jp/p/lucid-vision-labs-atlas10-atx081s-cc-sony-imx536-81mp-uv-camera/56134/" xr:uid="{8B59AA3E-1E6C-450D-BD57-A8E77B4573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342-41D6-4436-991D-870E6A401F55}">
  <dimension ref="A1:M14"/>
  <sheetViews>
    <sheetView topLeftCell="A2" workbookViewId="0">
      <selection activeCell="J16" sqref="J16"/>
    </sheetView>
  </sheetViews>
  <sheetFormatPr defaultRowHeight="18.75"/>
  <cols>
    <col min="4" max="4" width="25.125" customWidth="1"/>
    <col min="5" max="6" width="14.625" customWidth="1"/>
  </cols>
  <sheetData>
    <row r="1" spans="1:13">
      <c r="A1" t="s">
        <v>96</v>
      </c>
    </row>
    <row r="3" spans="1:13">
      <c r="C3" t="s">
        <v>97</v>
      </c>
      <c r="D3" t="s">
        <v>98</v>
      </c>
      <c r="E3" t="s">
        <v>99</v>
      </c>
      <c r="G3" t="s">
        <v>100</v>
      </c>
      <c r="H3" t="s">
        <v>101</v>
      </c>
    </row>
    <row r="4" spans="1:13">
      <c r="A4" t="s">
        <v>102</v>
      </c>
      <c r="B4" t="s">
        <v>103</v>
      </c>
      <c r="C4">
        <v>6000</v>
      </c>
      <c r="D4">
        <v>6</v>
      </c>
      <c r="E4" t="s">
        <v>104</v>
      </c>
      <c r="G4">
        <v>2000</v>
      </c>
      <c r="H4">
        <f>C4/G4*D4</f>
        <v>18</v>
      </c>
    </row>
    <row r="6" spans="1:13">
      <c r="B6" t="s">
        <v>105</v>
      </c>
      <c r="C6">
        <v>5000</v>
      </c>
      <c r="D6">
        <v>8</v>
      </c>
      <c r="E6" t="s">
        <v>104</v>
      </c>
      <c r="G6">
        <v>2500</v>
      </c>
      <c r="H6">
        <f>C6/G6*D6</f>
        <v>16</v>
      </c>
    </row>
    <row r="8" spans="1:13">
      <c r="K8" t="s">
        <v>106</v>
      </c>
    </row>
    <row r="9" spans="1:13">
      <c r="F9" t="s">
        <v>118</v>
      </c>
      <c r="G9" t="s">
        <v>107</v>
      </c>
      <c r="H9" t="s">
        <v>108</v>
      </c>
      <c r="I9" t="s">
        <v>109</v>
      </c>
      <c r="J9" t="s">
        <v>110</v>
      </c>
      <c r="K9" t="s">
        <v>108</v>
      </c>
      <c r="L9" t="s">
        <v>109</v>
      </c>
      <c r="M9" t="s">
        <v>110</v>
      </c>
    </row>
    <row r="10" spans="1:13">
      <c r="A10" t="s">
        <v>111</v>
      </c>
      <c r="D10" t="s">
        <v>104</v>
      </c>
      <c r="E10" t="s">
        <v>112</v>
      </c>
      <c r="F10">
        <v>3</v>
      </c>
      <c r="G10">
        <v>4</v>
      </c>
      <c r="H10">
        <v>4</v>
      </c>
      <c r="I10">
        <v>4</v>
      </c>
      <c r="J10">
        <v>4</v>
      </c>
      <c r="K10">
        <f>H10*$G$10*$F$10</f>
        <v>48</v>
      </c>
      <c r="L10">
        <f t="shared" ref="L10:M10" si="0">I10*$G$10*$F$10</f>
        <v>48</v>
      </c>
      <c r="M10">
        <f t="shared" si="0"/>
        <v>48</v>
      </c>
    </row>
    <row r="12" spans="1:13">
      <c r="E12" t="s">
        <v>113</v>
      </c>
    </row>
    <row r="13" spans="1:13">
      <c r="A13" t="s">
        <v>114</v>
      </c>
      <c r="D13" t="s">
        <v>115</v>
      </c>
      <c r="E13">
        <v>12</v>
      </c>
    </row>
    <row r="14" spans="1:13">
      <c r="D14" t="s">
        <v>116</v>
      </c>
      <c r="E14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20251223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kanemitsu.shohei</dc:creator>
  <cp:keywords/>
  <dc:description/>
  <cp:lastModifiedBy>kanemitsu.shohei</cp:lastModifiedBy>
  <cp:revision/>
  <dcterms:created xsi:type="dcterms:W3CDTF">2025-11-14T05:37:53Z</dcterms:created>
  <dcterms:modified xsi:type="dcterms:W3CDTF">2026-01-05T08:41:39Z</dcterms:modified>
  <cp:category/>
  <cp:contentStatus/>
</cp:coreProperties>
</file>